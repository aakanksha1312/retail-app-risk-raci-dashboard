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999AFC47-687D-4970-8D3A-56E85F469082}" xr6:coauthVersionLast="47" xr6:coauthVersionMax="47" xr10:uidLastSave="{00000000-0000-0000-0000-000000000000}"/>
  <bookViews>
    <workbookView xWindow="-120" yWindow="-120" windowWidth="29040" windowHeight="15720" xr2:uid="{EE12169C-258E-413B-BEF6-F0E27C2C3E91}"/>
  </bookViews>
  <sheets>
    <sheet name="RISK REGISTER" sheetId="1" r:id="rId1"/>
    <sheet name="RACI MATRIX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L2" i="1"/>
  <c r="L3" i="1"/>
  <c r="L4" i="1"/>
  <c r="L5" i="1"/>
  <c r="L6" i="1"/>
  <c r="L7" i="1"/>
  <c r="L8" i="1"/>
  <c r="L9" i="1"/>
  <c r="G2" i="1"/>
  <c r="G3" i="1"/>
  <c r="G4" i="1"/>
  <c r="G5" i="1"/>
  <c r="G6" i="1"/>
  <c r="G7" i="1"/>
  <c r="G8" i="1"/>
  <c r="G9" i="1"/>
</calcChain>
</file>

<file path=xl/sharedStrings.xml><?xml version="1.0" encoding="utf-8"?>
<sst xmlns="http://schemas.openxmlformats.org/spreadsheetml/2006/main" count="119" uniqueCount="73">
  <si>
    <t xml:space="preserve"> DUE DATE</t>
  </si>
  <si>
    <t xml:space="preserve">MITIGATION PLAN </t>
  </si>
  <si>
    <t>STATUS</t>
  </si>
  <si>
    <t>OWNER</t>
  </si>
  <si>
    <t xml:space="preserve"> RISK LEVEL</t>
  </si>
  <si>
    <t xml:space="preserve">RISK SCORE </t>
  </si>
  <si>
    <t>IMPACT (1-5)</t>
  </si>
  <si>
    <t>RISK ID</t>
  </si>
  <si>
    <t xml:space="preserve"> RISK DESCRIPTION </t>
  </si>
  <si>
    <t xml:space="preserve"> CATEGORY </t>
  </si>
  <si>
    <t xml:space="preserve">PROBABILITY (1-5) </t>
  </si>
  <si>
    <t>R-01</t>
  </si>
  <si>
    <t>R-02</t>
  </si>
  <si>
    <t>R-03</t>
  </si>
  <si>
    <t>R-04</t>
  </si>
  <si>
    <t>R-05</t>
  </si>
  <si>
    <t>R-06</t>
  </si>
  <si>
    <t>R-07</t>
  </si>
  <si>
    <t>R-08</t>
  </si>
  <si>
    <t>Designer unavailable</t>
  </si>
  <si>
    <t>Budget overrun &gt;10%</t>
  </si>
  <si>
    <t>Client feedback delay</t>
  </si>
  <si>
    <t>Tool license expiry</t>
  </si>
  <si>
    <t>QA resource sick</t>
  </si>
  <si>
    <t>Scope creep by client</t>
  </si>
  <si>
    <t>Server downtime</t>
  </si>
  <si>
    <t>Vendor payment delay</t>
  </si>
  <si>
    <t>Resource</t>
  </si>
  <si>
    <t>Budget</t>
  </si>
  <si>
    <t>Schedule</t>
  </si>
  <si>
    <t>Technical</t>
  </si>
  <si>
    <t>Scope</t>
  </si>
  <si>
    <t>Asha</t>
  </si>
  <si>
    <t>Ravi</t>
  </si>
  <si>
    <t>Neha</t>
  </si>
  <si>
    <t>Kiran</t>
  </si>
  <si>
    <t>Swetha</t>
  </si>
  <si>
    <t>Open</t>
  </si>
  <si>
    <t>In Progress</t>
  </si>
  <si>
    <t>Mitigated</t>
  </si>
  <si>
    <t>Closed</t>
  </si>
  <si>
    <t>Arrange backup designer</t>
  </si>
  <si>
    <t>Daily cost tracking</t>
  </si>
  <si>
    <t>Send reminder + buffer</t>
  </si>
  <si>
    <t>Renew license early</t>
  </si>
  <si>
    <t>Cross-train team member</t>
  </si>
  <si>
    <t>Freeze scope document</t>
  </si>
  <si>
    <t>Use backup server</t>
  </si>
  <si>
    <t>Follow up with finance</t>
  </si>
  <si>
    <t>OVER DUE?</t>
  </si>
  <si>
    <t>TASK</t>
  </si>
  <si>
    <t xml:space="preserve"> Asha-PM</t>
  </si>
  <si>
    <t>Ravi-Dev</t>
  </si>
  <si>
    <t>Neha-Design</t>
  </si>
  <si>
    <t>Kiran-QA</t>
  </si>
  <si>
    <t>Rajesh-Client</t>
  </si>
  <si>
    <t>A</t>
  </si>
  <si>
    <t>C</t>
  </si>
  <si>
    <t>R</t>
  </si>
  <si>
    <t xml:space="preserve">UI Design </t>
  </si>
  <si>
    <t>Budget Approval</t>
  </si>
  <si>
    <t>Development</t>
  </si>
  <si>
    <t>Testing</t>
  </si>
  <si>
    <t xml:space="preserve">Risk Monitoring </t>
  </si>
  <si>
    <t>Client Demo</t>
  </si>
  <si>
    <t>Go-Live</t>
  </si>
  <si>
    <t>I</t>
  </si>
  <si>
    <t>LEGEND</t>
  </si>
  <si>
    <t>R = Responsible (Does the work)</t>
  </si>
  <si>
    <t>C = Consulted (2-way discussion before work)</t>
  </si>
  <si>
    <t xml:space="preserve"> I = Informed (1-way update after work)</t>
  </si>
  <si>
    <t>A = Accountable (Final Owner - Only ONE per task)</t>
  </si>
  <si>
    <t>Req Gathering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</si>
</sst>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189F7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A3DB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0" borderId="1" xfId="0" applyBorder="1"/>
    <xf numFmtId="0" fontId="1" fillId="3" borderId="0" xfId="0" applyFont="1" applyFill="1"/>
    <xf numFmtId="0" fontId="1" fillId="3" borderId="1" xfId="0" applyFont="1" applyFill="1" applyBorder="1"/>
    <xf numFmtId="0" fontId="1" fillId="0" borderId="1" xfId="0" applyFont="1" applyBorder="1"/>
    <xf numFmtId="0" fontId="0" fillId="4" borderId="0" xfId="0" applyFill="1"/>
    <xf numFmtId="0" fontId="1" fillId="2" borderId="1" xfId="0" applyFont="1" applyFill="1" applyBorder="1"/>
    <xf numFmtId="1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</cellXfs>
  <cellStyles count="1">
    <cellStyle name="Normal" xfId="0" builtinId="0"/>
  </cellStyles>
  <dxfs count="19">
    <dxf>
      <fill>
        <patternFill patternType="solid">
          <fgColor theme="9" tint="-0.24994659260841701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9"/>
          <bgColor theme="9" tint="-0.24994659260841701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>
          <fgColor theme="0" tint="-0.34998626667073579"/>
          <bgColor theme="0" tint="-0.34998626667073579"/>
        </patternFill>
      </fill>
    </dxf>
    <dxf>
      <fill>
        <patternFill patternType="darkGrid">
          <fgColor rgb="FFFF0000"/>
        </patternFill>
      </fill>
    </dxf>
    <dxf>
      <fill>
        <patternFill patternType="lightGrid">
          <fgColor theme="7" tint="0.39991454817346722"/>
        </patternFill>
      </fill>
    </dxf>
    <dxf>
      <fill>
        <patternFill patternType="darkDown">
          <fgColor theme="1" tint="4.9989318521683403E-2"/>
        </patternFill>
      </fill>
    </dxf>
    <dxf>
      <fill>
        <patternFill patternType="darkGrid">
          <bgColor rgb="FF800000"/>
        </patternFill>
      </fill>
    </dxf>
    <dxf>
      <fill>
        <patternFill patternType="darkGray">
          <fgColor rgb="FFC00000"/>
          <bgColor rgb="FFC00000"/>
        </patternFill>
      </fill>
    </dxf>
    <dxf>
      <fill>
        <patternFill patternType="darkGray">
          <fgColor rgb="FFFF0000"/>
          <bgColor rgb="FFFF0000"/>
        </patternFill>
      </fill>
    </dxf>
    <dxf>
      <fill>
        <patternFill patternType="darkGray">
          <bgColor rgb="FFFF9900"/>
        </patternFill>
      </fill>
    </dxf>
    <dxf>
      <fill>
        <patternFill patternType="darkGray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theme="9"/>
          <bgColor theme="9" tint="-0.2499465926084170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9"/>
          <bgColor theme="9" tint="-0.2499465926084170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colors>
    <mruColors>
      <color rgb="FFFF9900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48FDD-3753-4C8B-856F-59D93FCE7673}">
  <dimension ref="A1:L9"/>
  <sheetViews>
    <sheetView tabSelected="1" topLeftCell="C1" zoomScale="164" zoomScaleNormal="190" workbookViewId="0">
      <selection activeCell="D18" sqref="D18"/>
    </sheetView>
  </sheetViews>
  <sheetFormatPr defaultRowHeight="15" x14ac:dyDescent="0.25"/>
  <cols>
    <col min="1" max="1" width="7.140625" bestFit="1" customWidth="1"/>
    <col min="2" max="2" width="21.5703125" bestFit="1" customWidth="1"/>
    <col min="3" max="3" width="11.42578125" bestFit="1" customWidth="1"/>
    <col min="4" max="4" width="17.7109375" bestFit="1" customWidth="1"/>
    <col min="5" max="5" width="12.5703125" bestFit="1" customWidth="1"/>
    <col min="6" max="6" width="11.42578125" bestFit="1" customWidth="1"/>
    <col min="7" max="7" width="10.85546875" bestFit="1" customWidth="1"/>
    <col min="8" max="8" width="8" bestFit="1" customWidth="1"/>
    <col min="9" max="9" width="10.7109375" bestFit="1" customWidth="1"/>
    <col min="10" max="10" width="24" bestFit="1" customWidth="1"/>
    <col min="11" max="11" width="14.42578125" customWidth="1"/>
    <col min="12" max="12" width="16.140625" customWidth="1"/>
  </cols>
  <sheetData>
    <row r="1" spans="1:12" x14ac:dyDescent="0.25">
      <c r="A1" s="1" t="s">
        <v>7</v>
      </c>
      <c r="B1" s="1" t="s">
        <v>8</v>
      </c>
      <c r="C1" s="7" t="s">
        <v>9</v>
      </c>
      <c r="D1" s="7" t="s">
        <v>10</v>
      </c>
      <c r="E1" s="7" t="s">
        <v>6</v>
      </c>
      <c r="F1" s="7" t="s">
        <v>5</v>
      </c>
      <c r="G1" s="7" t="s">
        <v>4</v>
      </c>
      <c r="H1" s="7" t="s">
        <v>3</v>
      </c>
      <c r="I1" s="7" t="s">
        <v>2</v>
      </c>
      <c r="J1" s="7" t="s">
        <v>1</v>
      </c>
      <c r="K1" s="7" t="s">
        <v>0</v>
      </c>
      <c r="L1" s="7" t="s">
        <v>49</v>
      </c>
    </row>
    <row r="2" spans="1:12" x14ac:dyDescent="0.25">
      <c r="A2" t="s">
        <v>11</v>
      </c>
      <c r="B2" t="s">
        <v>19</v>
      </c>
      <c r="C2" s="2" t="s">
        <v>27</v>
      </c>
      <c r="D2" s="8">
        <v>4</v>
      </c>
      <c r="E2" s="8">
        <v>5</v>
      </c>
      <c r="F2" s="8">
        <f>(D2*E2)</f>
        <v>20</v>
      </c>
      <c r="G2" s="2" t="str">
        <f>IF(F2&gt;=15,"CRITICAL",IF(F2&gt;=8,"HIGH",IF(F2&gt;=4,"MEDIUM","LOW")))</f>
        <v>CRITICAL</v>
      </c>
      <c r="H2" s="2" t="s">
        <v>32</v>
      </c>
      <c r="I2" s="2" t="s">
        <v>37</v>
      </c>
      <c r="J2" s="2" t="s">
        <v>41</v>
      </c>
      <c r="K2" s="9">
        <v>46313</v>
      </c>
      <c r="L2" s="2" t="str">
        <f ca="1">IF(I2="Closed","Completed",IF(K2&lt;TODAY(),"OVERDUE",IF(K2=TODAY(),"Due Today","On Track")))</f>
        <v>On Track</v>
      </c>
    </row>
    <row r="3" spans="1:12" x14ac:dyDescent="0.25">
      <c r="A3" t="s">
        <v>12</v>
      </c>
      <c r="B3" t="s">
        <v>20</v>
      </c>
      <c r="C3" s="2" t="s">
        <v>28</v>
      </c>
      <c r="D3" s="8">
        <v>3</v>
      </c>
      <c r="E3" s="8">
        <v>5</v>
      </c>
      <c r="F3" s="8">
        <f t="shared" ref="F3:F9" si="0">(D3*E3)</f>
        <v>15</v>
      </c>
      <c r="G3" s="2" t="str">
        <f t="shared" ref="G3:G9" si="1">IF(F3&gt;=15,"CRITICAL",IF(F3&gt;=8,"HIGH",IF(F3&gt;=4,"MEDIUM","LOW")))</f>
        <v>CRITICAL</v>
      </c>
      <c r="H3" s="2" t="s">
        <v>33</v>
      </c>
      <c r="I3" s="2" t="s">
        <v>38</v>
      </c>
      <c r="J3" s="2" t="s">
        <v>42</v>
      </c>
      <c r="K3" s="9">
        <v>46314</v>
      </c>
      <c r="L3" s="2" t="str">
        <f t="shared" ref="L3:L9" ca="1" si="2">IF(I3="Closed","Completed",IF(K3&lt;TODAY(),"OVERDUE",IF(K3=TODAY(),"Due Today","On Track")))</f>
        <v>On Track</v>
      </c>
    </row>
    <row r="4" spans="1:12" x14ac:dyDescent="0.25">
      <c r="A4" t="s">
        <v>13</v>
      </c>
      <c r="B4" t="s">
        <v>21</v>
      </c>
      <c r="C4" s="2" t="s">
        <v>29</v>
      </c>
      <c r="D4" s="8">
        <v>5</v>
      </c>
      <c r="E4" s="8">
        <v>4</v>
      </c>
      <c r="F4" s="8">
        <f t="shared" si="0"/>
        <v>20</v>
      </c>
      <c r="G4" s="2" t="str">
        <f t="shared" si="1"/>
        <v>CRITICAL</v>
      </c>
      <c r="H4" s="2" t="s">
        <v>34</v>
      </c>
      <c r="I4" s="2" t="s">
        <v>37</v>
      </c>
      <c r="J4" s="2" t="s">
        <v>43</v>
      </c>
      <c r="K4" s="9">
        <v>46315</v>
      </c>
      <c r="L4" s="2" t="str">
        <f t="shared" ca="1" si="2"/>
        <v>On Track</v>
      </c>
    </row>
    <row r="5" spans="1:12" x14ac:dyDescent="0.25">
      <c r="A5" t="s">
        <v>14</v>
      </c>
      <c r="B5" t="s">
        <v>22</v>
      </c>
      <c r="C5" s="2" t="s">
        <v>30</v>
      </c>
      <c r="D5" s="8">
        <v>2</v>
      </c>
      <c r="E5" s="8">
        <v>2</v>
      </c>
      <c r="F5" s="8">
        <f t="shared" si="0"/>
        <v>4</v>
      </c>
      <c r="G5" s="2" t="str">
        <f t="shared" si="1"/>
        <v>MEDIUM</v>
      </c>
      <c r="H5" s="2" t="s">
        <v>35</v>
      </c>
      <c r="I5" s="2" t="s">
        <v>39</v>
      </c>
      <c r="J5" s="2" t="s">
        <v>44</v>
      </c>
      <c r="K5" s="9">
        <v>46307</v>
      </c>
      <c r="L5" s="2" t="str">
        <f t="shared" ca="1" si="2"/>
        <v>Due Today</v>
      </c>
    </row>
    <row r="6" spans="1:12" x14ac:dyDescent="0.25">
      <c r="A6" t="s">
        <v>15</v>
      </c>
      <c r="B6" t="s">
        <v>23</v>
      </c>
      <c r="C6" s="2" t="s">
        <v>27</v>
      </c>
      <c r="D6" s="8">
        <v>3</v>
      </c>
      <c r="E6" s="8">
        <v>3</v>
      </c>
      <c r="F6" s="8">
        <f t="shared" si="0"/>
        <v>9</v>
      </c>
      <c r="G6" s="2" t="str">
        <f t="shared" si="1"/>
        <v>HIGH</v>
      </c>
      <c r="H6" s="2" t="s">
        <v>36</v>
      </c>
      <c r="I6" s="2" t="s">
        <v>37</v>
      </c>
      <c r="J6" s="2" t="s">
        <v>45</v>
      </c>
      <c r="K6" s="9">
        <v>46317</v>
      </c>
      <c r="L6" s="2" t="str">
        <f t="shared" ca="1" si="2"/>
        <v>On Track</v>
      </c>
    </row>
    <row r="7" spans="1:12" x14ac:dyDescent="0.25">
      <c r="A7" t="s">
        <v>16</v>
      </c>
      <c r="B7" t="s">
        <v>24</v>
      </c>
      <c r="C7" s="2" t="s">
        <v>31</v>
      </c>
      <c r="D7" s="8">
        <v>4</v>
      </c>
      <c r="E7" s="8">
        <v>4</v>
      </c>
      <c r="F7" s="8">
        <f t="shared" si="0"/>
        <v>16</v>
      </c>
      <c r="G7" s="2" t="str">
        <f t="shared" si="1"/>
        <v>CRITICAL</v>
      </c>
      <c r="H7" s="2" t="s">
        <v>32</v>
      </c>
      <c r="I7" s="2" t="s">
        <v>37</v>
      </c>
      <c r="J7" s="2" t="s">
        <v>46</v>
      </c>
      <c r="K7" s="9">
        <v>46318</v>
      </c>
      <c r="L7" s="2" t="str">
        <f t="shared" ca="1" si="2"/>
        <v>On Track</v>
      </c>
    </row>
    <row r="8" spans="1:12" x14ac:dyDescent="0.25">
      <c r="A8" t="s">
        <v>17</v>
      </c>
      <c r="B8" t="s">
        <v>25</v>
      </c>
      <c r="C8" s="2" t="s">
        <v>30</v>
      </c>
      <c r="D8" s="8">
        <v>2</v>
      </c>
      <c r="E8" s="8">
        <v>5</v>
      </c>
      <c r="F8" s="8">
        <f t="shared" si="0"/>
        <v>10</v>
      </c>
      <c r="G8" s="2" t="str">
        <f t="shared" si="1"/>
        <v>HIGH</v>
      </c>
      <c r="H8" s="2" t="s">
        <v>33</v>
      </c>
      <c r="I8" s="2" t="s">
        <v>40</v>
      </c>
      <c r="J8" s="2" t="s">
        <v>47</v>
      </c>
      <c r="K8" s="9">
        <v>46319</v>
      </c>
      <c r="L8" s="2" t="str">
        <f t="shared" ca="1" si="2"/>
        <v>Completed</v>
      </c>
    </row>
    <row r="9" spans="1:12" x14ac:dyDescent="0.25">
      <c r="A9" t="s">
        <v>18</v>
      </c>
      <c r="B9" t="s">
        <v>26</v>
      </c>
      <c r="C9" s="2" t="s">
        <v>28</v>
      </c>
      <c r="D9" s="8">
        <v>3</v>
      </c>
      <c r="E9" s="8">
        <v>2</v>
      </c>
      <c r="F9" s="8">
        <f t="shared" si="0"/>
        <v>6</v>
      </c>
      <c r="G9" s="2" t="str">
        <f t="shared" si="1"/>
        <v>MEDIUM</v>
      </c>
      <c r="H9" s="2" t="s">
        <v>34</v>
      </c>
      <c r="I9" s="2" t="s">
        <v>38</v>
      </c>
      <c r="J9" s="2" t="s">
        <v>48</v>
      </c>
      <c r="K9" s="9">
        <v>46320</v>
      </c>
      <c r="L9" s="2" t="str">
        <f t="shared" ca="1" si="2"/>
        <v>On Track</v>
      </c>
    </row>
  </sheetData>
  <phoneticPr fontId="2" type="noConversion"/>
  <conditionalFormatting sqref="G2:G9">
    <cfRule type="containsText" dxfId="12" priority="1" operator="containsText" text="MEDIUM">
      <formula>NOT(ISERROR(SEARCH("MEDIUM",G2)))</formula>
    </cfRule>
    <cfRule type="containsText" dxfId="11" priority="2" operator="containsText" text="MEDIUM">
      <formula>NOT(ISERROR(SEARCH("MEDIUM",G2)))</formula>
    </cfRule>
    <cfRule type="containsText" dxfId="10" priority="3" operator="containsText" text="HIGH">
      <formula>NOT(ISERROR(SEARCH("HIGH",G2)))</formula>
    </cfRule>
    <cfRule type="containsText" dxfId="9" priority="4" operator="containsText" text="CRITICAL">
      <formula>NOT(ISERROR(SEARCH("CRITICAL",G2)))</formula>
    </cfRule>
    <cfRule type="containsText" dxfId="8" priority="5" operator="containsText" text="CRITICAL">
      <formula>NOT(ISERROR(SEARCH("CRITICAL",G2)))</formula>
    </cfRule>
    <cfRule type="containsText" dxfId="7" priority="6" operator="containsText" text="CRITICAL">
      <formula>NOT(ISERROR(SEARCH("CRITICAL",G2)))</formula>
    </cfRule>
    <cfRule type="containsText" dxfId="6" priority="7" operator="containsText" text="MEDIUM">
      <formula>NOT(ISERROR(SEARCH("MEDIUM",G2)))</formula>
    </cfRule>
    <cfRule type="containsText" dxfId="5" priority="8" operator="containsText" text="CRITICAL">
      <formula>NOT(ISERROR(SEARCH("CRITICAL",G2)))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7CA8E-3194-4E14-9844-F549F3850F18}">
  <dimension ref="A1:F15"/>
  <sheetViews>
    <sheetView zoomScale="188" workbookViewId="0">
      <selection activeCell="A2" sqref="A2"/>
    </sheetView>
  </sheetViews>
  <sheetFormatPr defaultRowHeight="15" x14ac:dyDescent="0.25"/>
  <cols>
    <col min="1" max="1" width="21.28515625" customWidth="1"/>
    <col min="2" max="2" width="9.28515625" bestFit="1" customWidth="1"/>
    <col min="3" max="3" width="8.85546875" bestFit="1" customWidth="1"/>
    <col min="4" max="4" width="12.42578125" bestFit="1" customWidth="1"/>
    <col min="5" max="5" width="9" bestFit="1" customWidth="1"/>
    <col min="6" max="6" width="12.85546875" bestFit="1" customWidth="1"/>
  </cols>
  <sheetData>
    <row r="1" spans="1:6" x14ac:dyDescent="0.25">
      <c r="A1" s="4" t="s">
        <v>50</v>
      </c>
      <c r="B1" s="4" t="s">
        <v>51</v>
      </c>
      <c r="C1" s="4" t="s">
        <v>52</v>
      </c>
      <c r="D1" s="4" t="s">
        <v>53</v>
      </c>
      <c r="E1" s="4" t="s">
        <v>54</v>
      </c>
      <c r="F1" s="4" t="s">
        <v>55</v>
      </c>
    </row>
    <row r="2" spans="1:6" x14ac:dyDescent="0.25">
      <c r="A2" s="5" t="s">
        <v>72</v>
      </c>
      <c r="B2" s="5" t="s">
        <v>56</v>
      </c>
      <c r="C2" s="5" t="s">
        <v>57</v>
      </c>
      <c r="D2" s="5" t="s">
        <v>57</v>
      </c>
      <c r="E2" s="5" t="s">
        <v>57</v>
      </c>
      <c r="F2" s="5" t="s">
        <v>58</v>
      </c>
    </row>
    <row r="3" spans="1:6" x14ac:dyDescent="0.25">
      <c r="A3" s="5" t="s">
        <v>59</v>
      </c>
      <c r="B3" s="5" t="s">
        <v>56</v>
      </c>
      <c r="C3" s="5" t="s">
        <v>66</v>
      </c>
      <c r="D3" s="5" t="s">
        <v>58</v>
      </c>
      <c r="E3" s="5" t="s">
        <v>57</v>
      </c>
      <c r="F3" s="5" t="s">
        <v>57</v>
      </c>
    </row>
    <row r="4" spans="1:6" x14ac:dyDescent="0.25">
      <c r="A4" s="5" t="s">
        <v>60</v>
      </c>
      <c r="B4" s="5" t="s">
        <v>56</v>
      </c>
      <c r="C4" s="5" t="s">
        <v>66</v>
      </c>
      <c r="D4" s="5" t="s">
        <v>66</v>
      </c>
      <c r="E4" s="5" t="s">
        <v>66</v>
      </c>
      <c r="F4" s="5" t="s">
        <v>58</v>
      </c>
    </row>
    <row r="5" spans="1:6" x14ac:dyDescent="0.25">
      <c r="A5" s="5" t="s">
        <v>61</v>
      </c>
      <c r="B5" s="5" t="s">
        <v>56</v>
      </c>
      <c r="C5" s="5" t="s">
        <v>58</v>
      </c>
      <c r="D5" s="5" t="s">
        <v>57</v>
      </c>
      <c r="E5" s="5" t="s">
        <v>57</v>
      </c>
      <c r="F5" s="5" t="s">
        <v>66</v>
      </c>
    </row>
    <row r="6" spans="1:6" x14ac:dyDescent="0.25">
      <c r="A6" s="5" t="s">
        <v>62</v>
      </c>
      <c r="B6" s="5" t="s">
        <v>56</v>
      </c>
      <c r="C6" s="5" t="s">
        <v>57</v>
      </c>
      <c r="D6" s="5" t="s">
        <v>66</v>
      </c>
      <c r="E6" s="5" t="s">
        <v>58</v>
      </c>
      <c r="F6" s="5" t="s">
        <v>66</v>
      </c>
    </row>
    <row r="7" spans="1:6" x14ac:dyDescent="0.25">
      <c r="A7" s="5" t="s">
        <v>63</v>
      </c>
      <c r="B7" s="5" t="s">
        <v>58</v>
      </c>
      <c r="C7" s="5" t="s">
        <v>57</v>
      </c>
      <c r="D7" s="5" t="s">
        <v>57</v>
      </c>
      <c r="E7" s="5" t="s">
        <v>57</v>
      </c>
      <c r="F7" s="5" t="s">
        <v>56</v>
      </c>
    </row>
    <row r="8" spans="1:6" x14ac:dyDescent="0.25">
      <c r="A8" s="5" t="s">
        <v>64</v>
      </c>
      <c r="B8" s="5" t="s">
        <v>56</v>
      </c>
      <c r="C8" s="5" t="s">
        <v>58</v>
      </c>
      <c r="D8" s="5" t="s">
        <v>58</v>
      </c>
      <c r="E8" s="5" t="s">
        <v>57</v>
      </c>
      <c r="F8" s="5" t="s">
        <v>66</v>
      </c>
    </row>
    <row r="9" spans="1:6" x14ac:dyDescent="0.25">
      <c r="A9" s="5" t="s">
        <v>65</v>
      </c>
      <c r="B9" s="5" t="s">
        <v>56</v>
      </c>
      <c r="C9" s="5" t="s">
        <v>58</v>
      </c>
      <c r="D9" s="5" t="s">
        <v>57</v>
      </c>
      <c r="E9" s="5" t="s">
        <v>58</v>
      </c>
      <c r="F9" s="5" t="s">
        <v>66</v>
      </c>
    </row>
    <row r="11" spans="1:6" x14ac:dyDescent="0.25">
      <c r="A11" s="3" t="s">
        <v>67</v>
      </c>
    </row>
    <row r="12" spans="1:6" x14ac:dyDescent="0.25">
      <c r="A12" s="6" t="s">
        <v>68</v>
      </c>
      <c r="B12" s="6"/>
      <c r="C12" s="6"/>
      <c r="D12" s="6"/>
    </row>
    <row r="13" spans="1:6" x14ac:dyDescent="0.25">
      <c r="A13" s="6" t="s">
        <v>71</v>
      </c>
      <c r="B13" s="6"/>
      <c r="C13" s="6"/>
      <c r="D13" s="6"/>
    </row>
    <row r="14" spans="1:6" x14ac:dyDescent="0.25">
      <c r="A14" s="6" t="s">
        <v>69</v>
      </c>
      <c r="B14" s="6"/>
      <c r="C14" s="6"/>
      <c r="D14" s="6"/>
    </row>
    <row r="15" spans="1:6" x14ac:dyDescent="0.25">
      <c r="A15" s="6" t="s">
        <v>70</v>
      </c>
      <c r="B15" s="6"/>
      <c r="C15" s="6"/>
      <c r="D15" s="6"/>
    </row>
  </sheetData>
  <phoneticPr fontId="2" type="noConversion"/>
  <conditionalFormatting sqref="B2:F9">
    <cfRule type="containsText" dxfId="4" priority="1" operator="containsText" text="I">
      <formula>NOT(ISERROR(SEARCH("I",B2)))</formula>
    </cfRule>
    <cfRule type="containsText" dxfId="3" priority="2" operator="containsText" text="C">
      <formula>NOT(ISERROR(SEARCH("C",B2)))</formula>
    </cfRule>
    <cfRule type="containsText" dxfId="2" priority="3" operator="containsText" text="R">
      <formula>NOT(ISERROR(SEARCH("R",B2)))</formula>
    </cfRule>
    <cfRule type="containsText" dxfId="1" priority="4" operator="containsText" text="A">
      <formula>NOT(ISERROR(SEARCH("A",B2)))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REGISTER</vt:lpstr>
      <vt:lpstr>RACI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Aakanksha Tokalapudi</dc:creator>
  <cp:lastModifiedBy>Aakanksha Tokalapudi</cp:lastModifiedBy>
  <dcterms:created xsi:type="dcterms:W3CDTF">2026-10-12T11:00:10Z</dcterms:created>
  <dcterms:modified xsi:type="dcterms:W3CDTF">2026-10-12T12:19:01Z</dcterms:modified>
</cp:coreProperties>
</file>